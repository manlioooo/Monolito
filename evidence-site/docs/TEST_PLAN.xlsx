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c6f90a3a7445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riz de pruebas" sheetId="1" r:id="R0058e8eb9e464c8a"/>
    <x:sheet xmlns:r="http://schemas.openxmlformats.org/officeDocument/2006/relationships" name="Resumen" sheetId="2" r:id="Ra645383a516d4aa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%"/>
  </x:numFmts>
  <x:fonts count="4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sz val="11"/>
      <x:color rgb="FF25332C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A3A"/>
      </x:patternFill>
    </x:fill>
    <x:fill>
      <x:patternFill patternType="solid">
        <x:fgColor rgb="FFB9573F"/>
      </x:patternFill>
    </x:fill>
    <x:fill>
      <x:patternFill patternType="solid">
        <x:fgColor rgb="FFFFFDF8"/>
      </x:patternFill>
    </x:fill>
  </x:fills>
  <x:borders count="7">
    <x:border/>
    <x:border>
      <x:left style="thin">
        <x:color rgb="FFB9573F"/>
      </x:left>
      <x:top style="thin">
        <x:color rgb="FFB9573F"/>
      </x:top>
      <x:bottom style="thin">
        <x:color rgb="FFB9573F"/>
      </x:bottom>
    </x:border>
    <x:border>
      <x:top style="thin">
        <x:color rgb="FFB9573F"/>
      </x:top>
      <x:bottom style="thin">
        <x:color rgb="FFB9573F"/>
      </x:bottom>
    </x:border>
    <x:border>
      <x:right style="thin">
        <x:color rgb="FFB9573F"/>
      </x:right>
      <x:top style="thin">
        <x:color rgb="FFB9573F"/>
      </x:top>
      <x:bottom style="thin">
        <x:color rgb="FFB9573F"/>
      </x:bottom>
    </x:border>
    <x:border>
      <x:bottom style="thin">
        <x:color rgb="FFD9D3C7"/>
      </x:bottom>
    </x:border>
    <x:border>
      <x:top style="thin">
        <x:color rgb="FFD9D3C7"/>
      </x:top>
      <x:bottom style="thin">
        <x:color rgb="FFD9D3C7"/>
      </x:bottom>
    </x:border>
    <x:border>
      <x:top style="thin">
        <x:color rgb="FFD9D3C7"/>
      </x:top>
    </x:border>
  </x:borders>
  <x:cellStyleXfs count="1">
    <x:xf numFmtId="0" fontId="0" fillId="0" borderId="0"/>
  </x:cellStyleXfs>
  <x:cellXfs count="2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top" wrapText="1"/>
    </x:xf>
    <x:xf numFmtId="0" fontId="3" fillId="4" borderId="5" xfId="0" applyNumberFormat="1" applyFont="1" applyFill="1" applyBorder="1" applyAlignment="1">
      <x:alignment vertical="top" wrapText="1"/>
    </x:xf>
    <x:xf numFmtId="0" fontId="3" fillId="4" borderId="6" xfId="0" applyNumberFormat="1" applyFont="1" applyFill="1" applyBorder="1" applyAlignment="1">
      <x:alignment vertical="top" wrapText="1"/>
    </x:xf>
    <x:xf numFmtId="200" fontId="3" fillId="4" borderId="4" xfId="0" applyNumberFormat="1" applyFont="1" applyFill="1" applyBorder="1" applyAlignment="1">
      <x:alignment vertical="top" wrapText="1"/>
    </x:xf>
    <x:xf numFmtId="200" fontId="3" fillId="4" borderId="5" xfId="0" applyNumberFormat="1" applyFont="1" applyFill="1" applyBorder="1" applyAlignment="1">
      <x:alignment vertical="top" wrapText="1"/>
    </x:xf>
    <x:xf numFmtId="201" fontId="3" fillId="4" borderId="6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6dcacf177d94db1" /><Relationship Type="http://schemas.openxmlformats.org/officeDocument/2006/relationships/theme" Target="/xl/theme/theme1.xml" Id="R737ad7675f68480c" /><Relationship Type="http://schemas.openxmlformats.org/officeDocument/2006/relationships/sharedStrings" Target="/xl/sharedStrings.xml" Id="R6c45adbbd112489a" /><Relationship Type="http://schemas.openxmlformats.org/officeDocument/2006/relationships/worksheet" Target="/xl/worksheets/sheet1.xml" Id="R0058e8eb9e464c8a" /><Relationship Type="http://schemas.openxmlformats.org/officeDocument/2006/relationships/worksheet" Target="/xl/worksheets/sheet2.xml" Id="Ra645383a516d4aa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6" hidden="0" customWidth="1"/>
    <x:col min="3" max="3" width="16" hidden="0" customWidth="1"/>
    <x:col min="4" max="4" width="31" hidden="0" customWidth="1"/>
    <x:col min="5" max="5" width="31" hidden="0" customWidth="1"/>
    <x:col min="6" max="6" width="31" hidden="0" customWidth="1"/>
    <x:col min="7" max="7" width="31" hidden="0" customWidth="1"/>
    <x:col min="8" max="8" width="23" hidden="0" customWidth="1"/>
    <x:col min="9" max="9" width="23" hidden="0" customWidth="1"/>
  </x:cols>
  <x:sheetData>
    <x:row r="1" ht="34" customHeight="1">
      <x:c r="A1" s="3" t="str">
        <x:v>Matriz de pruebas e integridad - Ejercicio 02</x:v>
      </x:c>
      <x:c r="B1" s="3"/>
      <x:c r="C1" s="3"/>
      <x:c r="D1" s="3"/>
      <x:c r="E1" s="3"/>
      <x:c r="F1" s="3"/>
      <x:c r="G1" s="3"/>
      <x:c r="H1" s="3"/>
      <x:c r="I1" s="3"/>
    </x:row>
    <x:row r="3">
      <x:c r="A3" s="9" t="str">
        <x:v>ID</x:v>
      </x:c>
      <x:c r="B3" s="10" t="str">
        <x:v>Requisito</x:v>
      </x:c>
      <x:c r="C3" s="10" t="str">
        <x:v>Tipo</x:v>
      </x:c>
      <x:c r="D3" s="10" t="str">
        <x:v>Precondición / entrada</x:v>
      </x:c>
      <x:c r="E3" s="10" t="str">
        <x:v>Pasos</x:v>
      </x:c>
      <x:c r="F3" s="10" t="str">
        <x:v>Resultado esperado</x:v>
      </x:c>
      <x:c r="G3" s="10" t="str">
        <x:v>Resultado observado</x:v>
      </x:c>
      <x:c r="H3" s="10" t="str">
        <x:v>Estado</x:v>
      </x:c>
      <x:c r="I3" s="11" t="str">
        <x:v>Evidencia</x:v>
      </x:c>
    </x:row>
    <x:row r="4" ht="50" customHeight="1">
      <x:c r="A4" s="20" t="str">
        <x:v>TP-01</x:v>
      </x:c>
      <x:c r="B4" s="20" t="str">
        <x:v>RF-01</x:v>
      </x:c>
      <x:c r="C4" s="20" t="str">
        <x:v>Positiva</x:v>
      </x:c>
      <x:c r="D4" s="20" t="str">
        <x:v>Correo nuevo; clave válida</x:v>
      </x:c>
      <x:c r="E4" s="20" t="str">
        <x:v>Registrar</x:v>
      </x:c>
      <x:c r="F4" s="20" t="str">
        <x:v>Cuenta user y mensaje</x:v>
      </x:c>
      <x:c r="G4" s="20" t="str">
        <x:v>Ruta/SQL revisados</x:v>
      </x:c>
      <x:c r="H4" s="20" t="str">
        <x:v>Validado estáticamente</x:v>
      </x:c>
      <x:c r="I4" s="20" t="str">
        <x:v>routes/auth.js</x:v>
      </x:c>
    </x:row>
    <x:row r="5" ht="50" customHeight="1">
      <x:c r="A5" s="21" t="str">
        <x:v>TP-02</x:v>
      </x:c>
      <x:c r="B5" s="21" t="str">
        <x:v>RF-02</x:v>
      </x:c>
      <x:c r="C5" s="21" t="str">
        <x:v>Positiva</x:v>
      </x:c>
      <x:c r="D5" s="21" t="str">
        <x:v>Usuario activo</x:v>
      </x:c>
      <x:c r="E5" s="21" t="str">
        <x:v>Login correcto</x:v>
      </x:c>
      <x:c r="F5" s="21" t="str">
        <x:v>Sesión y catálogo</x:v>
      </x:c>
      <x:c r="G5" s="21" t="str">
        <x:v>Pendiente HTTP+DB</x:v>
      </x:c>
      <x:c r="H5" s="21" t="str">
        <x:v>Pendiente VM</x:v>
      </x:c>
      <x:c r="I5" s="21" t="str">
        <x:v>Captura TP-02</x:v>
      </x:c>
    </x:row>
    <x:row r="6" ht="50" customHeight="1">
      <x:c r="A6" s="21" t="str">
        <x:v>TP-03</x:v>
      </x:c>
      <x:c r="B6" s="21" t="str">
        <x:v>RF-02</x:v>
      </x:c>
      <x:c r="C6" s="21" t="str">
        <x:v>Negativa</x:v>
      </x:c>
      <x:c r="D6" s="21" t="str">
        <x:v>Clave incorrecta</x:v>
      </x:c>
      <x:c r="E6" s="21" t="str">
        <x:v>Login</x:v>
      </x:c>
      <x:c r="F6" s="21" t="str">
        <x:v>Mensaje genérico</x:v>
      </x:c>
      <x:c r="G6" s="21" t="str">
        <x:v>Pendiente HTTP+DB</x:v>
      </x:c>
      <x:c r="H6" s="21" t="str">
        <x:v>Pendiente VM</x:v>
      </x:c>
      <x:c r="I6" s="21" t="str">
        <x:v>Captura TP-03</x:v>
      </x:c>
    </x:row>
    <x:row r="7" ht="50" customHeight="1">
      <x:c r="A7" s="21" t="str">
        <x:v>TP-04</x:v>
      </x:c>
      <x:c r="B7" s="21" t="str">
        <x:v>RF-03</x:v>
      </x:c>
      <x:c r="C7" s="21" t="str">
        <x:v>Autorización</x:v>
      </x:c>
      <x:c r="D7" s="21" t="str">
        <x:v>Sin sesión</x:v>
      </x:c>
      <x:c r="E7" s="21" t="str">
        <x:v>GET /library/</x:v>
      </x:c>
      <x:c r="F7" s="21" t="str">
        <x:v>Redirige a login</x:v>
      </x:c>
      <x:c r="G7" s="21" t="str">
        <x:v>Middleware presente</x:v>
      </x:c>
      <x:c r="H7" s="21" t="str">
        <x:v>Validado estáticamente</x:v>
      </x:c>
      <x:c r="I7" s="21" t="str">
        <x:v>middleware/auth.js</x:v>
      </x:c>
    </x:row>
    <x:row r="8" ht="50" customHeight="1">
      <x:c r="A8" s="21" t="str">
        <x:v>TP-05</x:v>
      </x:c>
      <x:c r="B8" s="21" t="str">
        <x:v>RF-07</x:v>
      </x:c>
      <x:c r="C8" s="21" t="str">
        <x:v>Autorización</x:v>
      </x:c>
      <x:c r="D8" s="21" t="str">
        <x:v>Usuario regular</x:v>
      </x:c>
      <x:c r="E8" s="21" t="str">
        <x:v>GET /library/admin</x:v>
      </x:c>
      <x:c r="F8" s="21" t="str">
        <x:v>403 controlado</x:v>
      </x:c>
      <x:c r="G8" s="21" t="str">
        <x:v>Middleware presente</x:v>
      </x:c>
      <x:c r="H8" s="21" t="str">
        <x:v>Validado estáticamente</x:v>
      </x:c>
      <x:c r="I8" s="21" t="str">
        <x:v>middleware/auth.js</x:v>
      </x:c>
    </x:row>
    <x:row r="9" ht="50" customHeight="1">
      <x:c r="A9" s="21" t="str">
        <x:v>TP-06</x:v>
      </x:c>
      <x:c r="B9" s="21" t="str">
        <x:v>RF-07</x:v>
      </x:c>
      <x:c r="C9" s="21" t="str">
        <x:v>Positiva</x:v>
      </x:c>
      <x:c r="D9" s="21" t="str">
        <x:v>Admin</x:v>
      </x:c>
      <x:c r="E9" s="21" t="str">
        <x:v>Abrir panel</x:v>
      </x:c>
      <x:c r="F9" s="21" t="str">
        <x:v>Panel y conteos</x:v>
      </x:c>
      <x:c r="G9" s="21" t="str">
        <x:v>Pendiente HTTP+DB</x:v>
      </x:c>
      <x:c r="H9" s="21" t="str">
        <x:v>Pendiente VM</x:v>
      </x:c>
      <x:c r="I9" s="21" t="str">
        <x:v>Captura TP-06</x:v>
      </x:c>
    </x:row>
    <x:row r="10" ht="50" customHeight="1">
      <x:c r="A10" s="21" t="str">
        <x:v>TP-07</x:v>
      </x:c>
      <x:c r="B10" s="21" t="str">
        <x:v>RF-04</x:v>
      </x:c>
      <x:c r="C10" s="21" t="str">
        <x:v>Positiva</x:v>
      </x:c>
      <x:c r="D10" s="21" t="str">
        <x:v>Cloud</x:v>
      </x:c>
      <x:c r="E10" s="21" t="str">
        <x:v>Buscar título</x:v>
      </x:c>
      <x:c r="F10" s="21" t="str">
        <x:v>Coincidencia</x:v>
      </x:c>
      <x:c r="G10" s="21" t="str">
        <x:v>ILIKE $1 revisado</x:v>
      </x:c>
      <x:c r="H10" s="21" t="str">
        <x:v>Validado estáticamente</x:v>
      </x:c>
      <x:c r="I10" s="21" t="str">
        <x:v>catalogService.js</x:v>
      </x:c>
    </x:row>
    <x:row r="11" ht="50" customHeight="1">
      <x:c r="A11" s="21" t="str">
        <x:v>TP-08</x:v>
      </x:c>
      <x:c r="B11" s="21" t="str">
        <x:v>RF-04</x:v>
      </x:c>
      <x:c r="C11" s="21" t="str">
        <x:v>Positiva</x:v>
      </x:c>
      <x:c r="D11" s="21" t="str">
        <x:v>ISBN existente</x:v>
      </x:c>
      <x:c r="E11" s="21" t="str">
        <x:v>Buscar ISBN</x:v>
      </x:c>
      <x:c r="F11" s="21" t="str">
        <x:v>Libro exacto</x:v>
      </x:c>
      <x:c r="G11" s="21" t="str">
        <x:v>Pendiente HTTP+DB</x:v>
      </x:c>
      <x:c r="H11" s="21" t="str">
        <x:v>Pendiente VM</x:v>
      </x:c>
      <x:c r="I11" s="21" t="str">
        <x:v>Captura TP-08</x:v>
      </x:c>
    </x:row>
    <x:row r="12" ht="50" customHeight="1">
      <x:c r="A12" s="21" t="str">
        <x:v>TP-09</x:v>
      </x:c>
      <x:c r="B12" s="21" t="str">
        <x:v>RF-06</x:v>
      </x:c>
      <x:c r="C12" s="21" t="str">
        <x:v>CRUD</x:v>
      </x:c>
      <x:c r="D12" s="21" t="str">
        <x:v>Datos válidos</x:v>
      </x:c>
      <x:c r="E12" s="21" t="str">
        <x:v>CRUD libro</x:v>
      </x:c>
      <x:c r="F12" s="21" t="str">
        <x:v>Persistencia y mensajes</x:v>
      </x:c>
      <x:c r="G12" s="21" t="str">
        <x:v>Pendiente HTTP+DB</x:v>
      </x:c>
      <x:c r="H12" s="21" t="str">
        <x:v>Pendiente VM</x:v>
      </x:c>
      <x:c r="I12" s="21" t="str">
        <x:v>Capturas TP-09</x:v>
      </x:c>
    </x:row>
    <x:row r="13" ht="50" customHeight="1">
      <x:c r="A13" s="21" t="str">
        <x:v>TP-10</x:v>
      </x:c>
      <x:c r="B13" s="21" t="str">
        <x:v>RF-08</x:v>
      </x:c>
      <x:c r="C13" s="21" t="str">
        <x:v>Relación</x:v>
      </x:c>
      <x:c r="D13" s="21" t="str">
        <x:v>2 autores/2 géneros</x:v>
      </x:c>
      <x:c r="E13" s="21" t="str">
        <x:v>Editar libro</x:v>
      </x:c>
      <x:c r="F13" s="21" t="str">
        <x:v>Relaciones sin duplicado</x:v>
      </x:c>
      <x:c r="G13" s="21" t="str">
        <x:v>Transacción revisada</x:v>
      </x:c>
      <x:c r="H13" s="21" t="str">
        <x:v>Validado estáticamente</x:v>
      </x:c>
      <x:c r="I13" s="21" t="str">
        <x:v>adminService.js</x:v>
      </x:c>
    </x:row>
    <x:row r="14" ht="50" customHeight="1">
      <x:c r="A14" s="21" t="str">
        <x:v>TP-11</x:v>
      </x:c>
      <x:c r="B14" s="21" t="str">
        <x:v>RF-09</x:v>
      </x:c>
      <x:c r="C14" s="21" t="str">
        <x:v>CRUD</x:v>
      </x:c>
      <x:c r="D14" s="21" t="str">
        <x:v>IaaS + referencia</x:v>
      </x:c>
      <x:c r="E14" s="21" t="str">
        <x:v>Guardar/editar/quitar</x:v>
      </x:c>
      <x:c r="F14" s="21" t="str">
        <x:v>Relación correcta</x:v>
      </x:c>
      <x:c r="G14" s="21" t="str">
        <x:v>UPSERT revisado</x:v>
      </x:c>
      <x:c r="H14" s="21" t="str">
        <x:v>Validado estáticamente</x:v>
      </x:c>
      <x:c r="I14" s="21" t="str">
        <x:v>routes/admin.js</x:v>
      </x:c>
    </x:row>
    <x:row r="15" ht="50" customHeight="1">
      <x:c r="A15" s="21" t="str">
        <x:v>TP-12</x:v>
      </x:c>
      <x:c r="B15" s="21" t="str">
        <x:v>RF-13</x:v>
      </x:c>
      <x:c r="C15" s="21" t="str">
        <x:v>Negativa DB</x:v>
      </x:c>
      <x:c r="D15" s="21" t="str">
        <x:v>Admin existente</x:v>
      </x:c>
      <x:c r="E15" s="21" t="str">
        <x:v>Insertar otro</x:v>
      </x:c>
      <x:c r="F15" s="21" t="str">
        <x:v>SQLSTATE 23505</x:v>
      </x:c>
      <x:c r="G15" s="21" t="str">
        <x:v>Pendiente psql</x:v>
      </x:c>
      <x:c r="H15" s="21" t="str">
        <x:v>Pendiente VM</x:v>
      </x:c>
      <x:c r="I15" s="21" t="str">
        <x:v>Captura TP-12</x:v>
      </x:c>
    </x:row>
    <x:row r="16" ht="50" customHeight="1">
      <x:c r="A16" s="21" t="str">
        <x:v>TP-13</x:v>
      </x:c>
      <x:c r="B16" s="21" t="str">
        <x:v>RF-12</x:v>
      </x:c>
      <x:c r="C16" s="21" t="str">
        <x:v>Negativa DB</x:v>
      </x:c>
      <x:c r="D16" s="21" t="str">
        <x:v>precio/stock -1</x:v>
      </x:c>
      <x:c r="E16" s="21" t="str">
        <x:v>UPDATE</x:v>
      </x:c>
      <x:c r="F16" s="21" t="str">
        <x:v>SQLSTATE 23514</x:v>
      </x:c>
      <x:c r="G16" s="21" t="str">
        <x:v>Bloque presente</x:v>
      </x:c>
      <x:c r="H16" s="21" t="str">
        <x:v>Validado estáticamente</x:v>
      </x:c>
      <x:c r="I16" s="21" t="str">
        <x:v>db/07</x:v>
      </x:c>
    </x:row>
    <x:row r="17" ht="50" customHeight="1">
      <x:c r="A17" s="21" t="str">
        <x:v>TP-14</x:v>
      </x:c>
      <x:c r="B17" s="21" t="str">
        <x:v>RNF-02</x:v>
      </x:c>
      <x:c r="C17" s="21" t="str">
        <x:v>Negativa DB</x:v>
      </x:c>
      <x:c r="D17" s="21" t="str">
        <x:v>FK 999999</x:v>
      </x:c>
      <x:c r="E17" s="21" t="str">
        <x:v>INSERT</x:v>
      </x:c>
      <x:c r="F17" s="21" t="str">
        <x:v>SQLSTATE 23503</x:v>
      </x:c>
      <x:c r="G17" s="21" t="str">
        <x:v>Bloque presente</x:v>
      </x:c>
      <x:c r="H17" s="21" t="str">
        <x:v>Validado estáticamente</x:v>
      </x:c>
      <x:c r="I17" s="21" t="str">
        <x:v>db/07</x:v>
      </x:c>
    </x:row>
    <x:row r="18" ht="50" customHeight="1">
      <x:c r="A18" s="21" t="str">
        <x:v>TP-15</x:v>
      </x:c>
      <x:c r="B18" s="21" t="str">
        <x:v>RF-10</x:v>
      </x:c>
      <x:c r="C18" s="21" t="str">
        <x:v>Archivo</x:v>
      </x:c>
      <x:c r="D18" s="21" t="str">
        <x:v>PDF como JPG</x:v>
      </x:c>
      <x:c r="E18" s="21" t="str">
        <x:v>Cargar</x:v>
      </x:c>
      <x:c r="F18" s="21" t="str">
        <x:v>Rechazo</x:v>
      </x:c>
      <x:c r="G18" s="21" t="str">
        <x:v>Pendiente navegador</x:v>
      </x:c>
      <x:c r="H18" s="21" t="str">
        <x:v>Pendiente VM</x:v>
      </x:c>
      <x:c r="I18" s="21" t="str">
        <x:v>Captura TP-15</x:v>
      </x:c>
    </x:row>
    <x:row r="19" ht="50" customHeight="1">
      <x:c r="A19" s="21" t="str">
        <x:v>TP-16</x:v>
      </x:c>
      <x:c r="B19" s="21" t="str">
        <x:v>RF-10</x:v>
      </x:c>
      <x:c r="C19" s="21" t="str">
        <x:v>Archivo</x:v>
      </x:c>
      <x:c r="D19" s="21" t="str">
        <x:v>Imagen &gt;5 MB</x:v>
      </x:c>
      <x:c r="E19" s="21" t="str">
        <x:v>Cargar</x:v>
      </x:c>
      <x:c r="F19" s="21" t="str">
        <x:v>Rechazo tamaño</x:v>
      </x:c>
      <x:c r="G19" s="21" t="str">
        <x:v>Límite revisado</x:v>
      </x:c>
      <x:c r="H19" s="21" t="str">
        <x:v>Validado estáticamente</x:v>
      </x:c>
      <x:c r="I19" s="21" t="str">
        <x:v>upload.js</x:v>
      </x:c>
    </x:row>
    <x:row r="20" ht="50" customHeight="1">
      <x:c r="A20" s="21" t="str">
        <x:v>TP-17</x:v>
      </x:c>
      <x:c r="B20" s="21" t="str">
        <x:v>RNF-01</x:v>
      </x:c>
      <x:c r="C20" s="21" t="str">
        <x:v>Seguridad</x:v>
      </x:c>
      <x:c r="D20" s="21" t="str">
        <x:v>POST sin CSRF</x:v>
      </x:c>
      <x:c r="E20" s="21" t="str">
        <x:v>Enviar</x:v>
      </x:c>
      <x:c r="F20" s="21" t="str">
        <x:v>403</x:v>
      </x:c>
      <x:c r="G20" s="21" t="str">
        <x:v>Middleware revisado</x:v>
      </x:c>
      <x:c r="H20" s="21" t="str">
        <x:v>Validado estáticamente</x:v>
      </x:c>
      <x:c r="I20" s="21" t="str">
        <x:v>csrf.js</x:v>
      </x:c>
    </x:row>
    <x:row r="21" ht="50" customHeight="1">
      <x:c r="A21" s="21" t="str">
        <x:v>TP-18</x:v>
      </x:c>
      <x:c r="B21" s="21" t="str">
        <x:v>RNF-01</x:v>
      </x:c>
      <x:c r="C21" s="21" t="str">
        <x:v>Seguridad</x:v>
      </x:c>
      <x:c r="D21" s="21" t="str">
        <x:v>' OR 1=1 --</x:v>
      </x:c>
      <x:c r="E21" s="21" t="str">
        <x:v>Buscar</x:v>
      </x:c>
      <x:c r="F21" s="21" t="str">
        <x:v>Texto literal</x:v>
      </x:c>
      <x:c r="G21" s="21" t="str">
        <x:v>Parámetro revisado</x:v>
      </x:c>
      <x:c r="H21" s="21" t="str">
        <x:v>Validado estáticamente</x:v>
      </x:c>
      <x:c r="I21" s="21" t="str">
        <x:v>catalogService.js</x:v>
      </x:c>
    </x:row>
    <x:row r="22" ht="50" customHeight="1">
      <x:c r="A22" s="21" t="str">
        <x:v>TP-19</x:v>
      </x:c>
      <x:c r="B22" s="21" t="str">
        <x:v>RNF-07</x:v>
      </x:c>
      <x:c r="C22" s="21" t="str">
        <x:v>Error</x:v>
      </x:c>
      <x:c r="D22" s="21" t="str">
        <x:v>Violación SQL</x:v>
      </x:c>
      <x:c r="E22" s="21" t="str">
        <x:v>Formulario</x:v>
      </x:c>
      <x:c r="F22" s="21" t="str">
        <x:v>Sin stack</x:v>
      </x:c>
      <x:c r="G22" s="21" t="str">
        <x:v>Handler revisado</x:v>
      </x:c>
      <x:c r="H22" s="21" t="str">
        <x:v>Validado estáticamente</x:v>
      </x:c>
      <x:c r="I22" s="21" t="str">
        <x:v>app.js</x:v>
      </x:c>
    </x:row>
    <x:row r="23" ht="50" customHeight="1">
      <x:c r="A23" s="21" t="str">
        <x:v>TP-20</x:v>
      </x:c>
      <x:c r="B23" s="21" t="str">
        <x:v>RF-14</x:v>
      </x:c>
      <x:c r="C23" s="21" t="str">
        <x:v>Despliegue</x:v>
      </x:c>
      <x:c r="D23" s="21" t="str">
        <x:v>NGINX activo</x:v>
      </x:c>
      <x:c r="E23" s="21" t="str">
        <x:v>Abrir /library</x:v>
      </x:c>
      <x:c r="F23" s="21" t="str">
        <x:v>Funciona; :3000 cerrado</x:v>
      </x:c>
      <x:c r="G23" s="21" t="str">
        <x:v>Pendiente GCP</x:v>
      </x:c>
      <x:c r="H23" s="21" t="str">
        <x:v>Pendiente VM</x:v>
      </x:c>
      <x:c r="I23" s="21" t="str">
        <x:v>Captura TP-20</x:v>
      </x:c>
    </x:row>
    <x:row r="24" ht="50" customHeight="1">
      <x:c r="A24" s="21" t="str">
        <x:v>TP-21</x:v>
      </x:c>
      <x:c r="B24" s="21" t="str">
        <x:v>RF-10</x:v>
      </x:c>
      <x:c r="C24" s="21" t="str">
        <x:v>CRUD imagen</x:v>
      </x:c>
      <x:c r="D24" s="21" t="str">
        <x:v>Imagen existente</x:v>
      </x:c>
      <x:c r="E24" s="21" t="str">
        <x:v>Editar/borrar</x:v>
      </x:c>
      <x:c r="F24" s="21" t="str">
        <x:v>Metadatos/archivo</x:v>
      </x:c>
      <x:c r="G24" s="21" t="str">
        <x:v>Ruta revisada</x:v>
      </x:c>
      <x:c r="H24" s="21" t="str">
        <x:v>Validado estáticamente</x:v>
      </x:c>
      <x:c r="I24" s="21" t="str">
        <x:v>routes/admin.js</x:v>
      </x:c>
    </x:row>
    <x:row r="25" ht="50" customHeight="1">
      <x:c r="A25" s="21" t="str">
        <x:v>TP-22</x:v>
      </x:c>
      <x:c r="B25" s="21" t="str">
        <x:v>RF-07</x:v>
      </x:c>
      <x:c r="C25" s="21" t="str">
        <x:v>CRUD maestros</x:v>
      </x:c>
      <x:c r="D25" s="21" t="str">
        <x:v>Admin</x:v>
      </x:c>
      <x:c r="E25" s="21" t="str">
        <x:v>CRUD cada maestro</x:v>
      </x:c>
      <x:c r="F25" s="21" t="str">
        <x:v>Operaciones/FK</x:v>
      </x:c>
      <x:c r="G25" s="21" t="str">
        <x:v>Interfaz revisada</x:v>
      </x:c>
      <x:c r="H25" s="21" t="str">
        <x:v>Validado estáticamente</x:v>
      </x:c>
      <x:c r="I25" s="21" t="str">
        <x:v>masters views</x:v>
      </x:c>
    </x:row>
    <x:row r="26" ht="50" customHeight="1">
      <x:c r="A26" s="21" t="str">
        <x:v>TP-23</x:v>
      </x:c>
      <x:c r="B26" s="21" t="str">
        <x:v>RF-11</x:v>
      </x:c>
      <x:c r="C26" s="21" t="str">
        <x:v>CRUD usuarios</x:v>
      </x:c>
      <x:c r="D26" s="21" t="str">
        <x:v>Admin</x:v>
      </x:c>
      <x:c r="E26" s="21" t="str">
        <x:v>CRUD usuarios</x:v>
      </x:c>
      <x:c r="F26" s="21" t="str">
        <x:v>Auto-borrado rechazado</x:v>
      </x:c>
      <x:c r="G26" s="21" t="str">
        <x:v>Rutas revisadas</x:v>
      </x:c>
      <x:c r="H26" s="21" t="str">
        <x:v>Validado estáticamente</x:v>
      </x:c>
      <x:c r="I26" s="21" t="str">
        <x:v>routes/admin.js</x:v>
      </x:c>
    </x:row>
    <x:row r="27" ht="50" customHeight="1">
      <x:c r="A27" s="22" t="str">
        <x:v>TP-24</x:v>
      </x:c>
      <x:c r="B27" s="22" t="str">
        <x:v>RNF-05</x:v>
      </x:c>
      <x:c r="C27" s="22" t="str">
        <x:v>Usabilidad</x:v>
      </x:c>
      <x:c r="D27" s="22" t="str">
        <x:v>Móvil/escritorio</x:v>
      </x:c>
      <x:c r="E27" s="22" t="str">
        <x:v>Navegar</x:v>
      </x:c>
      <x:c r="F27" s="22" t="str">
        <x:v>Sin enlaces rotos</x:v>
      </x:c>
      <x:c r="G27" s="22" t="str">
        <x:v>Pendiente navegador</x:v>
      </x:c>
      <x:c r="H27" s="22" t="str">
        <x:v>Pendiente VM</x:v>
      </x:c>
      <x:c r="I27" s="22" t="str">
        <x:v>Captura TP-24</x:v>
      </x:c>
    </x:row>
  </x:sheetData>
  <x:mergeCells>
    <x:mergeCell ref="A1:I1"/>
  </x:mergeCells>
  <x:dataValidations count="1">
    <x:dataValidation type="list" sqref="H4:H27">
      <x:formula1>"Validado estáticamente,Pendiente VM,Aprobado,Falló"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32" hidden="0" customWidth="1"/>
  </x:cols>
  <x:sheetData>
    <x:row r="1" ht="34" customHeight="1">
      <x:c r="A1" s="3" t="str">
        <x:v>Resumen de validación</x:v>
      </x:c>
      <x:c r="B1" s="3"/>
    </x:row>
    <x:row r="3">
      <x:c r="A3" s="9" t="str">
        <x:v>Indicador</x:v>
      </x:c>
      <x:c r="B3" s="11" t="str">
        <x:v>Valor</x:v>
      </x:c>
    </x:row>
    <x:row r="4" ht="34" customHeight="1">
      <x:c r="A4" s="20" t="str">
        <x:v>Total de casos</x:v>
      </x:c>
      <x:c r="B4" s="23" t="n">
        <x:f>COUNTA('Matriz de pruebas'!A4:A27)</x:f>
        <x:v>24</x:v>
      </x:c>
    </x:row>
    <x:row r="5" ht="34" customHeight="1">
      <x:c r="A5" s="21" t="str">
        <x:v>Validados estáticamente</x:v>
      </x:c>
      <x:c r="B5" s="24" t="n">
        <x:f>COUNTIF('Matriz de pruebas'!H4:H27,"Validado estáticamente")</x:f>
        <x:v>15</x:v>
      </x:c>
    </x:row>
    <x:row r="6" ht="34" customHeight="1">
      <x:c r="A6" s="21" t="str">
        <x:v>Pendientes de VM</x:v>
      </x:c>
      <x:c r="B6" s="24" t="n">
        <x:f>COUNTIF('Matriz de pruebas'!H4:H27,"Pendiente VM")</x:f>
        <x:v>9</x:v>
      </x:c>
    </x:row>
    <x:row r="7" ht="34" customHeight="1">
      <x:c r="A7" s="22" t="str">
        <x:v>Casos con estado asignado</x:v>
      </x:c>
      <x:c r="B7" s="25" t="n">
        <x:f>(B5+B6)/B4</x:f>
        <x:v>1</x:v>
      </x:c>
    </x:row>
  </x:sheetData>
  <x:mergeCells>
    <x:mergeCell ref="A1:B1"/>
  </x:mergeCells>
  <x:pageMargins left="0.7" right="0.7" top="0.75" bottom="0.75" header="0.3" footer="0.3"/>
</x:worksheet>
</file>